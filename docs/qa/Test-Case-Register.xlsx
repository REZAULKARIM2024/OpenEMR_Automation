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Test Case Register" sheetId="2" state="visible" r:id="rId4"/>
  </sheets>
  <definedNames>
    <definedName function="false" hidden="true" localSheetId="1" name="_xlnm._FilterDatabase" vbProcedure="false">'Test Case Register'!$A$1:$K$48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<sst xmlns="http://schemas.openxmlformats.org/spreadsheetml/2006/main" count="517" uniqueCount="186">
  <si>
    <t xml:space="preserve">OpenEMR Automation Framework -- Quality Dashboard</t>
  </si>
  <si>
    <t xml:space="preserve">Snapshot generated from the Test Case Register tab. Re-open and press Ctrl+Alt+F9 (or just open in Excel) to recalculate after adding rows.</t>
  </si>
  <si>
    <t xml:space="preserve">Coverage by Priority</t>
  </si>
  <si>
    <t xml:space="preserve">Priority</t>
  </si>
  <si>
    <t xml:space="preserve">Test Cases</t>
  </si>
  <si>
    <t xml:space="preserve">% of Total</t>
  </si>
  <si>
    <t xml:space="preserve">High</t>
  </si>
  <si>
    <t xml:space="preserve">Medium</t>
  </si>
  <si>
    <t xml:space="preserve">Low</t>
  </si>
  <si>
    <t xml:space="preserve">Total</t>
  </si>
  <si>
    <t xml:space="preserve">Coverage by Test Type</t>
  </si>
  <si>
    <t xml:space="preserve">Test Type</t>
  </si>
  <si>
    <t xml:space="preserve">Functional</t>
  </si>
  <si>
    <t xml:space="preserve">Functional (Data-Driven)</t>
  </si>
  <si>
    <t xml:space="preserve">Negative</t>
  </si>
  <si>
    <t xml:space="preserve">Security</t>
  </si>
  <si>
    <t xml:space="preserve">Performance</t>
  </si>
  <si>
    <t xml:space="preserve">Accessibility</t>
  </si>
  <si>
    <t xml:space="preserve">API</t>
  </si>
  <si>
    <t xml:space="preserve">Coverage by Component</t>
  </si>
  <si>
    <t xml:space="preserve">Component</t>
  </si>
  <si>
    <t xml:space="preserve">Login</t>
  </si>
  <si>
    <t xml:space="preserve">Login (legacy)</t>
  </si>
  <si>
    <t xml:space="preserve">Patient Management</t>
  </si>
  <si>
    <t xml:space="preserve">Navigation</t>
  </si>
  <si>
    <t xml:space="preserve">Admin &amp; Session</t>
  </si>
  <si>
    <t xml:space="preserve">Browser/Device</t>
  </si>
  <si>
    <t xml:space="preserve">API - Transport</t>
  </si>
  <si>
    <t xml:space="preserve">API - Standard REST</t>
  </si>
  <si>
    <t xml:space="preserve">Automation &amp; Environment Gating</t>
  </si>
  <si>
    <t xml:space="preserve">Automated (written scenarios)</t>
  </si>
  <si>
    <t xml:space="preserve">Runs unconditionally in CI</t>
  </si>
  <si>
    <t xml:space="preserve">Env-gated (needs OAuth2 Password Grant)</t>
  </si>
  <si>
    <t xml:space="preserve">Note: counts are of written Cucumber scenarios, not runtime-expanded Scenario Outline rows (Examples tables push actual executed-scenario count higher, e.g. the ~80 scenarios the CI regression job reports).</t>
  </si>
  <si>
    <t xml:space="preserve">Key</t>
  </si>
  <si>
    <t xml:space="preserve">Feature File</t>
  </si>
  <si>
    <t xml:space="preserve">Scenario / Summary</t>
  </si>
  <si>
    <t xml:space="preserve">Tags</t>
  </si>
  <si>
    <t xml:space="preserve">Automated</t>
  </si>
  <si>
    <t xml:space="preserve">Automation Reference</t>
  </si>
  <si>
    <t xml:space="preserve">Status</t>
  </si>
  <si>
    <t xml:space="preserve">Notes</t>
  </si>
  <si>
    <t xml:space="preserve">OEMR-T1</t>
  </si>
  <si>
    <t xml:space="preserve">admin.feature</t>
  </si>
  <si>
    <t xml:space="preserve">Logout successfully</t>
  </si>
  <si>
    <t xml:space="preserve">@regression @smoke</t>
  </si>
  <si>
    <t xml:space="preserve">Y</t>
  </si>
  <si>
    <t xml:space="preserve">src/test/resources/features/admin.feature -&gt; LoginSteps / AdminSteps</t>
  </si>
  <si>
    <t xml:space="preserve">Automated - runs in CI</t>
  </si>
  <si>
    <t xml:space="preserve">OEMR-T2</t>
  </si>
  <si>
    <t xml:space="preserve">Admin menu is visible for a logged-in administrator</t>
  </si>
  <si>
    <t xml:space="preserve">@permission</t>
  </si>
  <si>
    <t xml:space="preserve">OEMR-T3</t>
  </si>
  <si>
    <t xml:space="preserve">Session ends after logout and protected pages redirect to login</t>
  </si>
  <si>
    <t xml:space="preserve">@permission @security</t>
  </si>
  <si>
    <t xml:space="preserve">OEMR-T4</t>
  </si>
  <si>
    <t xml:space="preserve">Logging out and logging back in restores dashboard access</t>
  </si>
  <si>
    <t xml:space="preserve">@lifecycle</t>
  </si>
  <si>
    <t xml:space="preserve">OEMR-T5</t>
  </si>
  <si>
    <t xml:space="preserve">api.feature</t>
  </si>
  <si>
    <t xml:space="preserve">Login endpoint responds successfully</t>
  </si>
  <si>
    <t xml:space="preserve">@api @smoke</t>
  </si>
  <si>
    <t xml:space="preserve">src/test/resources/features/api.feature -&gt; ApiSteps</t>
  </si>
  <si>
    <t xml:space="preserve">OEMR-T6</t>
  </si>
  <si>
    <t xml:space="preserve">Login endpoint responds within an acceptable time budget</t>
  </si>
  <si>
    <t xml:space="preserve">@api @performance</t>
  </si>
  <si>
    <t xml:space="preserve">OEMR-T7</t>
  </si>
  <si>
    <t xml:space="preserve">browser_behavior.feature</t>
  </si>
  <si>
    <t xml:space="preserve">Application remains usable across common viewport sizes</t>
  </si>
  <si>
    <t xml:space="preserve">@device @regression</t>
  </si>
  <si>
    <t xml:space="preserve">src/test/resources/features/browser_behavior.feature -&gt; BrowserBehaviorSteps</t>
  </si>
  <si>
    <t xml:space="preserve">OEMR-T8</t>
  </si>
  <si>
    <t xml:space="preserve">Browser back/forward navigation after login does not break the session</t>
  </si>
  <si>
    <t xml:space="preserve">OEMR-T9</t>
  </si>
  <si>
    <t xml:space="preserve">Opening a new tab and switching back does not affect the active session</t>
  </si>
  <si>
    <t xml:space="preserve">@interrupt</t>
  </si>
  <si>
    <t xml:space="preserve">OEMR-T10</t>
  </si>
  <si>
    <t xml:space="preserve">Refreshing mid-workflow recovers gracefully</t>
  </si>
  <si>
    <t xml:space="preserve">@interrupt @regression</t>
  </si>
  <si>
    <t xml:space="preserve">OEMR-T11</t>
  </si>
  <si>
    <t xml:space="preserve">login.feature</t>
  </si>
  <si>
    <t xml:space="preserve">Successful login with valid credentials</t>
  </si>
  <si>
    <t xml:space="preserve">@smoke @cross-browser</t>
  </si>
  <si>
    <t xml:space="preserve">src/test/resources/features/login.feature -&gt; LoginSteps</t>
  </si>
  <si>
    <t xml:space="preserve">OEMR-T12</t>
  </si>
  <si>
    <t xml:space="preserve">Login page displays the OpenEMR branding</t>
  </si>
  <si>
    <t xml:space="preserve">@smoke</t>
  </si>
  <si>
    <t xml:space="preserve">OEMR-T13</t>
  </si>
  <si>
    <t xml:space="preserve">Login is rejected for invalid credential combinations</t>
  </si>
  <si>
    <t xml:space="preserve">@regression @negative @data-driven</t>
  </si>
  <si>
    <t xml:space="preserve">OEMR-T14</t>
  </si>
  <si>
    <t xml:space="preserve">Successful login across supported languages</t>
  </si>
  <si>
    <t xml:space="preserve">@regression @data-driven</t>
  </si>
  <si>
    <t xml:space="preserve">OEMR-T15</t>
  </si>
  <si>
    <t xml:space="preserve">Login attempts with malicious payloads are handled safely</t>
  </si>
  <si>
    <t xml:space="preserve">@security @negative @data-driven</t>
  </si>
  <si>
    <t xml:space="preserve">OEMR-T16</t>
  </si>
  <si>
    <t xml:space="preserve">Username field trims leading and trailing whitespace</t>
  </si>
  <si>
    <t xml:space="preserve">@regression @negative</t>
  </si>
  <si>
    <t xml:space="preserve">OEMR-T17</t>
  </si>
  <si>
    <t xml:space="preserve">Repeated failed login attempts do not crash the application</t>
  </si>
  <si>
    <t xml:space="preserve">OEMR-T18</t>
  </si>
  <si>
    <t xml:space="preserve">Refreshing the login page does not lose the form</t>
  </si>
  <si>
    <t xml:space="preserve">OEMR-T19</t>
  </si>
  <si>
    <t xml:space="preserve">Login page remains usable at different window sizes</t>
  </si>
  <si>
    <t xml:space="preserve">@device</t>
  </si>
  <si>
    <t xml:space="preserve">OEMR-T20</t>
  </si>
  <si>
    <t xml:space="preserve">Login page loads within an acceptable time budget</t>
  </si>
  <si>
    <t xml:space="preserve">@performance</t>
  </si>
  <si>
    <t xml:space="preserve">OEMR-T21</t>
  </si>
  <si>
    <t xml:space="preserve">Direct URL access to the dashboard without logging in is blocked</t>
  </si>
  <si>
    <t xml:space="preserve">@security @permission</t>
  </si>
  <si>
    <t xml:space="preserve">OEMR-T22</t>
  </si>
  <si>
    <t xml:space="preserve">Login page meets basic accessibility expectations</t>
  </si>
  <si>
    <t xml:space="preserve">@accessibility</t>
  </si>
  <si>
    <t xml:space="preserve">OEMR-T23</t>
  </si>
  <si>
    <t xml:space="preserve">navigation.feature</t>
  </si>
  <si>
    <t xml:space="preserve">Dashboard is the default landing page after login</t>
  </si>
  <si>
    <t xml:space="preserve">@smoke @navigation</t>
  </si>
  <si>
    <t xml:space="preserve">src/test/resources/features/navigation.feature -&gt; NavigationSteps</t>
  </si>
  <si>
    <t xml:space="preserve">OEMR-T24</t>
  </si>
  <si>
    <t xml:space="preserve">Top-level module menu items are visible on the dashboard</t>
  </si>
  <si>
    <t xml:space="preserve">@regression @navigation @data-driven</t>
  </si>
  <si>
    <t xml:space="preserve">OEMR-T25</t>
  </si>
  <si>
    <t xml:space="preserve">Opening a module expands its sub-menu</t>
  </si>
  <si>
    <t xml:space="preserve">OEMR-T26</t>
  </si>
  <si>
    <t xml:space="preserve">Left navigation menu persists across module switches</t>
  </si>
  <si>
    <t xml:space="preserve">@regression @navigation</t>
  </si>
  <si>
    <t xml:space="preserve">OEMR-T27</t>
  </si>
  <si>
    <t xml:space="preserve">Navigating back after opening a module returns to the dashboard</t>
  </si>
  <si>
    <t xml:space="preserve">@device @navigation</t>
  </si>
  <si>
    <t xml:space="preserve">OEMR-T28</t>
  </si>
  <si>
    <t xml:space="preserve">openemr.feature</t>
  </si>
  <si>
    <t xml:space="preserve">Successful login</t>
  </si>
  <si>
    <t xml:space="preserve">src/test/resources/features/openemr.feature -&gt; LoginSteps</t>
  </si>
  <si>
    <t xml:space="preserve">OEMR-T29</t>
  </si>
  <si>
    <t xml:space="preserve">patient.feature</t>
  </si>
  <si>
    <t xml:space="preserve">Add new patient successfully</t>
  </si>
  <si>
    <t xml:space="preserve">src/test/resources/features/patient.feature -&gt; PatientSteps</t>
  </si>
  <si>
    <t xml:space="preserve">OEMR-T30</t>
  </si>
  <si>
    <t xml:space="preserve">Add multiple patients with valid demographic data</t>
  </si>
  <si>
    <t xml:space="preserve">OEMR-T31</t>
  </si>
  <si>
    <t xml:space="preserve">Add patient with a missing mandatory field</t>
  </si>
  <si>
    <t xml:space="preserve">OEMR-T32</t>
  </si>
  <si>
    <t xml:space="preserve">Add patient with an invalid date of birth format</t>
  </si>
  <si>
    <t xml:space="preserve">OEMR-T33</t>
  </si>
  <si>
    <t xml:space="preserve">Add patient with special characters in the name</t>
  </si>
  <si>
    <t xml:space="preserve">OEMR-T34</t>
  </si>
  <si>
    <t xml:space="preserve">Search for an existing patient by name</t>
  </si>
  <si>
    <t xml:space="preserve">@regression</t>
  </si>
  <si>
    <t xml:space="preserve">OEMR-T35</t>
  </si>
  <si>
    <t xml:space="preserve">Gender dropdown accepts each supported value</t>
  </si>
  <si>
    <t xml:space="preserve">OEMR-T36</t>
  </si>
  <si>
    <t xml:space="preserve">Gender dropdown exposes the expected options</t>
  </si>
  <si>
    <t xml:space="preserve">@forms</t>
  </si>
  <si>
    <t xml:space="preserve">OEMR-T37</t>
  </si>
  <si>
    <t xml:space="preserve">Clearing the patient form empties all fields</t>
  </si>
  <si>
    <t xml:space="preserve">OEMR-T38</t>
  </si>
  <si>
    <t xml:space="preserve">First name field is marked as a mandatory field</t>
  </si>
  <si>
    <t xml:space="preserve">@forms @accessibility</t>
  </si>
  <si>
    <t xml:space="preserve">OEMR-T39</t>
  </si>
  <si>
    <t xml:space="preserve">End-to-end patient onboarding with insurance</t>
  </si>
  <si>
    <t xml:space="preserve">@e2e @smoke</t>
  </si>
  <si>
    <t xml:space="preserve">OEMR-T40</t>
  </si>
  <si>
    <t xml:space="preserve">standard_api.feature</t>
  </si>
  <si>
    <t xml:space="preserve">OAuth2 discovery document exposes the expected endpoints</t>
  </si>
  <si>
    <t xml:space="preserve">@api @auth @smoke</t>
  </si>
  <si>
    <t xml:space="preserve">src/test/resources/features/standard_api.feature -&gt; ApiSteps</t>
  </si>
  <si>
    <t xml:space="preserve">OEMR-T41</t>
  </si>
  <si>
    <t xml:space="preserve">Dynamic client registration returns valid credentials</t>
  </si>
  <si>
    <t xml:space="preserve">OEMR-T42</t>
  </si>
  <si>
    <t xml:space="preserve">Standard API rejects requests with no bearer token</t>
  </si>
  <si>
    <t xml:space="preserve">@api @security @negative</t>
  </si>
  <si>
    <t xml:space="preserve">OEMR-T43</t>
  </si>
  <si>
    <t xml:space="preserve">Standard API rejects an obviously invalid bearer token</t>
  </si>
  <si>
    <t xml:space="preserve">OEMR-T44</t>
  </si>
  <si>
    <t xml:space="preserve">Authenticated request retrieves the patient list</t>
  </si>
  <si>
    <t xml:space="preserve">@api @authenticated @requires-password-grant</t>
  </si>
  <si>
    <t xml:space="preserve">Automated - env-gated (needs OAuth2 Password Grant enabled on target instance)</t>
  </si>
  <si>
    <t xml:space="preserve">OEMR-T45</t>
  </si>
  <si>
    <t xml:space="preserve">Creating a patient via the API returns the created record</t>
  </si>
  <si>
    <t xml:space="preserve">OEMR-T46</t>
  </si>
  <si>
    <t xml:space="preserve">Creating a patient with a missing required field returns a validation error</t>
  </si>
  <si>
    <t xml:space="preserve">@api @authenticated @requires-password-grant @negative</t>
  </si>
  <si>
    <t xml:space="preserve">OEMR-T47</t>
  </si>
  <si>
    <t xml:space="preserve">Requesting a non-existent patient returns 404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</si>
</sst>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E4"/>
        <bgColor rgb="FFFFF3CD"/>
      </patternFill>
    </fill>
    <fill>
      <patternFill patternType="solid">
        <fgColor rgb="FFE2F0D9"/>
        <bgColor rgb="FFDDEBF7"/>
      </patternFill>
    </fill>
    <fill>
      <patternFill patternType="solid">
        <fgColor rgb="FFFFF3CD"/>
        <bgColor rgb="FFFCE4E4"/>
      </patternFill>
    </fill>
    <fill>
      <patternFill patternType="solid">
        <fgColor rgb="FFDDEBF7"/>
        <bgColor rgb="FFE2F0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CE4E4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fgColor rgb="FFDDEBF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6" customFormat="false" ht="15" hidden="false" customHeight="false" outlineLevel="0" collapsed="false">
      <c r="A6" s="4" t="s">
        <v>3</v>
      </c>
      <c r="B6" s="4" t="s">
        <v>4</v>
      </c>
      <c r="C6" s="4" t="s">
        <v>5</v>
      </c>
    </row>
    <row r="7" customFormat="false" ht="15" hidden="false" customHeight="false" outlineLevel="0" collapsed="false">
      <c r="A7" s="5" t="s">
        <v>6</v>
      </c>
      <c r="B7" s="5" t="n">
        <f aca="false">COUNTIF('Test Case Register'!$F$2:$F$48,A7)</f>
        <v>15</v>
      </c>
      <c r="C7" s="6" t="n">
        <f aca="false">B7/$B$10</f>
        <v>0.319148936170213</v>
      </c>
    </row>
    <row r="8" customFormat="false" ht="15" hidden="false" customHeight="false" outlineLevel="0" collapsed="false">
      <c r="A8" s="5" t="s">
        <v>7</v>
      </c>
      <c r="B8" s="5" t="n">
        <f aca="false">COUNTIF('Test Case Register'!$F$2:$F$48,A8)</f>
        <v>21</v>
      </c>
      <c r="C8" s="6" t="n">
        <f aca="false">B8/$B$10</f>
        <v>0.446808510638298</v>
      </c>
    </row>
    <row r="9" customFormat="false" ht="15" hidden="false" customHeight="false" outlineLevel="0" collapsed="false">
      <c r="A9" s="5" t="s">
        <v>8</v>
      </c>
      <c r="B9" s="5" t="n">
        <f aca="false">COUNTIF('Test Case Register'!$F$2:$F$48,A9)</f>
        <v>11</v>
      </c>
      <c r="C9" s="6" t="n">
        <f aca="false">B9/$B$10</f>
        <v>0.234042553191489</v>
      </c>
    </row>
    <row r="10" customFormat="false" ht="15" hidden="false" customHeight="false" outlineLevel="0" collapsed="false">
      <c r="A10" s="3" t="s">
        <v>9</v>
      </c>
      <c r="B10" s="3" t="n">
        <f aca="false">SUM(B7:B9)</f>
        <v>47</v>
      </c>
      <c r="C10" s="7" t="n">
        <v>1</v>
      </c>
    </row>
    <row r="12" customFormat="false" ht="15" hidden="false" customHeight="false" outlineLevel="0" collapsed="false">
      <c r="A12" s="3" t="s">
        <v>10</v>
      </c>
    </row>
    <row r="13" customFormat="false" ht="15" hidden="false" customHeight="false" outlineLevel="0" collapsed="false">
      <c r="A13" s="4" t="s">
        <v>11</v>
      </c>
      <c r="B13" s="4" t="s">
        <v>4</v>
      </c>
    </row>
    <row r="14" customFormat="false" ht="15" hidden="false" customHeight="false" outlineLevel="0" collapsed="false">
      <c r="A14" s="5" t="s">
        <v>12</v>
      </c>
      <c r="B14" s="5" t="n">
        <f aca="false">COUNTIF('Test Case Register'!$G$2:$G$48,A14)</f>
        <v>20</v>
      </c>
    </row>
    <row r="15" customFormat="false" ht="15" hidden="false" customHeight="false" outlineLevel="0" collapsed="false">
      <c r="A15" s="5" t="s">
        <v>13</v>
      </c>
      <c r="B15" s="5" t="n">
        <f aca="false">COUNTIF('Test Case Register'!$G$2:$G$48,A15)</f>
        <v>5</v>
      </c>
    </row>
    <row r="16" customFormat="false" ht="15" hidden="false" customHeight="false" outlineLevel="0" collapsed="false">
      <c r="A16" s="5" t="s">
        <v>14</v>
      </c>
      <c r="B16" s="5" t="n">
        <f aca="false">COUNTIF('Test Case Register'!$G$2:$G$48,A16)</f>
        <v>11</v>
      </c>
    </row>
    <row r="17" customFormat="false" ht="15" hidden="false" customHeight="false" outlineLevel="0" collapsed="false">
      <c r="A17" s="5" t="s">
        <v>15</v>
      </c>
      <c r="B17" s="5" t="n">
        <f aca="false">COUNTIF('Test Case Register'!$G$2:$G$48,A17)</f>
        <v>2</v>
      </c>
    </row>
    <row r="18" customFormat="false" ht="15" hidden="false" customHeight="false" outlineLevel="0" collapsed="false">
      <c r="A18" s="5" t="s">
        <v>16</v>
      </c>
      <c r="B18" s="5" t="n">
        <f aca="false">COUNTIF('Test Case Register'!$G$2:$G$48,A18)</f>
        <v>2</v>
      </c>
    </row>
    <row r="19" customFormat="false" ht="15" hidden="false" customHeight="false" outlineLevel="0" collapsed="false">
      <c r="A19" s="5" t="s">
        <v>17</v>
      </c>
      <c r="B19" s="5" t="n">
        <f aca="false">COUNTIF('Test Case Register'!$G$2:$G$48,A19)</f>
        <v>2</v>
      </c>
    </row>
    <row r="20" customFormat="false" ht="15" hidden="false" customHeight="false" outlineLevel="0" collapsed="false">
      <c r="A20" s="5" t="s">
        <v>18</v>
      </c>
      <c r="B20" s="5" t="n">
        <f aca="false">COUNTIF('Test Case Register'!$G$2:$G$48,A20)</f>
        <v>5</v>
      </c>
    </row>
    <row r="22" customFormat="false" ht="15" hidden="false" customHeight="false" outlineLevel="0" collapsed="false">
      <c r="A22" s="3" t="s">
        <v>19</v>
      </c>
    </row>
    <row r="23" customFormat="false" ht="15" hidden="false" customHeight="false" outlineLevel="0" collapsed="false">
      <c r="A23" s="4" t="s">
        <v>20</v>
      </c>
      <c r="B23" s="4" t="s">
        <v>4</v>
      </c>
    </row>
    <row r="24" customFormat="false" ht="15" hidden="false" customHeight="false" outlineLevel="0" collapsed="false">
      <c r="A24" s="5" t="s">
        <v>21</v>
      </c>
      <c r="B24" s="5" t="n">
        <f aca="false">COUNTIF('Test Case Register'!$E$2:$E$48,A24)</f>
        <v>12</v>
      </c>
    </row>
    <row r="25" customFormat="false" ht="15" hidden="false" customHeight="false" outlineLevel="0" collapsed="false">
      <c r="A25" s="5" t="s">
        <v>22</v>
      </c>
      <c r="B25" s="5" t="n">
        <f aca="false">COUNTIF('Test Case Register'!$E$2:$E$48,A25)</f>
        <v>1</v>
      </c>
    </row>
    <row r="26" customFormat="false" ht="15" hidden="false" customHeight="false" outlineLevel="0" collapsed="false">
      <c r="A26" s="5" t="s">
        <v>23</v>
      </c>
      <c r="B26" s="5" t="n">
        <f aca="false">COUNTIF('Test Case Register'!$E$2:$E$48,A26)</f>
        <v>11</v>
      </c>
    </row>
    <row r="27" customFormat="false" ht="15" hidden="false" customHeight="false" outlineLevel="0" collapsed="false">
      <c r="A27" s="5" t="s">
        <v>24</v>
      </c>
      <c r="B27" s="5" t="n">
        <f aca="false">COUNTIF('Test Case Register'!$E$2:$E$48,A27)</f>
        <v>5</v>
      </c>
    </row>
    <row r="28" customFormat="false" ht="15" hidden="false" customHeight="false" outlineLevel="0" collapsed="false">
      <c r="A28" s="5" t="s">
        <v>25</v>
      </c>
      <c r="B28" s="5" t="n">
        <f aca="false">COUNTIF('Test Case Register'!$E$2:$E$48,A28)</f>
        <v>4</v>
      </c>
    </row>
    <row r="29" customFormat="false" ht="15" hidden="false" customHeight="false" outlineLevel="0" collapsed="false">
      <c r="A29" s="5" t="s">
        <v>26</v>
      </c>
      <c r="B29" s="5" t="n">
        <f aca="false">COUNTIF('Test Case Register'!$E$2:$E$48,A29)</f>
        <v>4</v>
      </c>
    </row>
    <row r="30" customFormat="false" ht="15" hidden="false" customHeight="false" outlineLevel="0" collapsed="false">
      <c r="A30" s="5" t="s">
        <v>27</v>
      </c>
      <c r="B30" s="5" t="n">
        <f aca="false">COUNTIF('Test Case Register'!$E$2:$E$48,A30)</f>
        <v>2</v>
      </c>
    </row>
    <row r="31" customFormat="false" ht="15" hidden="false" customHeight="false" outlineLevel="0" collapsed="false">
      <c r="A31" s="5" t="s">
        <v>28</v>
      </c>
      <c r="B31" s="5" t="n">
        <f aca="false">COUNTIF('Test Case Register'!$E$2:$E$48,A31)</f>
        <v>8</v>
      </c>
    </row>
    <row r="33" customFormat="false" ht="15" hidden="false" customHeight="false" outlineLevel="0" collapsed="false">
      <c r="A33" s="3" t="s">
        <v>29</v>
      </c>
    </row>
    <row r="34" customFormat="false" ht="15" hidden="false" customHeight="false" outlineLevel="0" collapsed="false">
      <c r="A34" s="5" t="s">
        <v>30</v>
      </c>
      <c r="B34" s="5" t="n">
        <f aca="false">COUNTIF('Test Case Register'!$H$2:$H$48,"Y")</f>
        <v>47</v>
      </c>
    </row>
    <row r="35" customFormat="false" ht="15" hidden="false" customHeight="false" outlineLevel="0" collapsed="false">
      <c r="A35" s="5" t="s">
        <v>31</v>
      </c>
      <c r="B35" s="5" t="n">
        <f aca="false">COUNTIF('Test Case Register'!$J$2:$J$48,"Automated - runs in CI")</f>
        <v>43</v>
      </c>
    </row>
    <row r="36" customFormat="false" ht="15" hidden="false" customHeight="false" outlineLevel="0" collapsed="false">
      <c r="A36" s="5" t="s">
        <v>32</v>
      </c>
      <c r="B36" s="5" t="n">
        <f aca="false">COUNTIFS('Test Case Register'!$J$2:$J$48,"*env-gated*")</f>
        <v>4</v>
      </c>
    </row>
    <row r="38" customFormat="false" ht="32.8" hidden="false" customHeight="true" outlineLevel="0" collapsed="false">
      <c r="A38" s="8" t="s">
        <v>33</v>
      </c>
      <c r="B38" s="8"/>
      <c r="C38" s="8"/>
    </row>
  </sheetData>
  <mergeCells count="1">
    <mergeCell ref="A38:C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46"/>
    <col collapsed="false" customWidth="true" hidden="false" outlineLevel="0" max="4" min="4" style="0" width="34"/>
    <col collapsed="false" customWidth="true" hidden="false" outlineLevel="0" max="5" min="5" style="0" width="18"/>
    <col collapsed="false" customWidth="true" hidden="false" outlineLevel="0" max="6" min="6" style="0" width="10"/>
    <col collapsed="false" customWidth="true" hidden="false" outlineLevel="0" max="7" min="7" style="0" width="20"/>
    <col collapsed="false" customWidth="true" hidden="false" outlineLevel="0" max="8" min="8" style="0" width="11"/>
    <col collapsed="false" customWidth="true" hidden="false" outlineLevel="0" max="9" min="9" style="0" width="40"/>
    <col collapsed="false" customWidth="true" hidden="false" outlineLevel="0" max="10" min="10" style="0" width="42"/>
    <col collapsed="false" customWidth="true" hidden="false" outlineLevel="0" max="11" min="11" style="0" width="18"/>
  </cols>
  <sheetData>
    <row r="1" customFormat="false" ht="15" hidden="false" customHeight="false" outlineLevel="0" collapsed="false">
      <c r="A1" s="4" t="s">
        <v>34</v>
      </c>
      <c r="B1" s="4" t="s">
        <v>35</v>
      </c>
      <c r="C1" s="4" t="s">
        <v>36</v>
      </c>
      <c r="D1" s="4" t="s">
        <v>37</v>
      </c>
      <c r="E1" s="4" t="s">
        <v>20</v>
      </c>
      <c r="F1" s="4" t="s">
        <v>3</v>
      </c>
      <c r="G1" s="4" t="s">
        <v>11</v>
      </c>
      <c r="H1" s="4" t="s">
        <v>38</v>
      </c>
      <c r="I1" s="4" t="s">
        <v>39</v>
      </c>
      <c r="J1" s="4" t="s">
        <v>40</v>
      </c>
      <c r="K1" s="4" t="s">
        <v>41</v>
      </c>
    </row>
    <row r="2" customFormat="false" ht="23.85" hidden="false" customHeight="false" outlineLevel="0" collapsed="false">
      <c r="A2" s="9" t="s">
        <v>42</v>
      </c>
      <c r="B2" s="9" t="s">
        <v>43</v>
      </c>
      <c r="C2" s="9" t="s">
        <v>44</v>
      </c>
      <c r="D2" s="9" t="s">
        <v>45</v>
      </c>
      <c r="E2" s="9" t="s">
        <v>25</v>
      </c>
      <c r="F2" s="10" t="s">
        <v>6</v>
      </c>
      <c r="G2" s="9" t="s">
        <v>12</v>
      </c>
      <c r="H2" s="9" t="s">
        <v>46</v>
      </c>
      <c r="I2" s="9" t="s">
        <v>47</v>
      </c>
      <c r="J2" s="9" t="s">
        <v>48</v>
      </c>
      <c r="K2" s="9"/>
    </row>
    <row r="3" customFormat="false" ht="23.85" hidden="false" customHeight="false" outlineLevel="0" collapsed="false">
      <c r="A3" s="9" t="s">
        <v>49</v>
      </c>
      <c r="B3" s="9" t="s">
        <v>43</v>
      </c>
      <c r="C3" s="9" t="s">
        <v>50</v>
      </c>
      <c r="D3" s="9" t="s">
        <v>51</v>
      </c>
      <c r="E3" s="9" t="s">
        <v>25</v>
      </c>
      <c r="F3" s="11" t="s">
        <v>8</v>
      </c>
      <c r="G3" s="9" t="s">
        <v>12</v>
      </c>
      <c r="H3" s="9" t="s">
        <v>46</v>
      </c>
      <c r="I3" s="9" t="s">
        <v>47</v>
      </c>
      <c r="J3" s="9" t="s">
        <v>48</v>
      </c>
      <c r="K3" s="9"/>
    </row>
    <row r="4" customFormat="false" ht="23.85" hidden="false" customHeight="false" outlineLevel="0" collapsed="false">
      <c r="A4" s="9" t="s">
        <v>52</v>
      </c>
      <c r="B4" s="9" t="s">
        <v>43</v>
      </c>
      <c r="C4" s="9" t="s">
        <v>53</v>
      </c>
      <c r="D4" s="9" t="s">
        <v>54</v>
      </c>
      <c r="E4" s="9" t="s">
        <v>25</v>
      </c>
      <c r="F4" s="10" t="s">
        <v>6</v>
      </c>
      <c r="G4" s="9" t="s">
        <v>15</v>
      </c>
      <c r="H4" s="9" t="s">
        <v>46</v>
      </c>
      <c r="I4" s="9" t="s">
        <v>47</v>
      </c>
      <c r="J4" s="9" t="s">
        <v>48</v>
      </c>
      <c r="K4" s="9"/>
    </row>
    <row r="5" customFormat="false" ht="23.85" hidden="false" customHeight="false" outlineLevel="0" collapsed="false">
      <c r="A5" s="9" t="s">
        <v>55</v>
      </c>
      <c r="B5" s="9" t="s">
        <v>43</v>
      </c>
      <c r="C5" s="9" t="s">
        <v>56</v>
      </c>
      <c r="D5" s="9" t="s">
        <v>57</v>
      </c>
      <c r="E5" s="9" t="s">
        <v>25</v>
      </c>
      <c r="F5" s="11" t="s">
        <v>8</v>
      </c>
      <c r="G5" s="9" t="s">
        <v>12</v>
      </c>
      <c r="H5" s="9" t="s">
        <v>46</v>
      </c>
      <c r="I5" s="9" t="s">
        <v>47</v>
      </c>
      <c r="J5" s="9" t="s">
        <v>48</v>
      </c>
      <c r="K5" s="9"/>
    </row>
    <row r="6" customFormat="false" ht="23.85" hidden="false" customHeight="false" outlineLevel="0" collapsed="false">
      <c r="A6" s="9" t="s">
        <v>58</v>
      </c>
      <c r="B6" s="9" t="s">
        <v>59</v>
      </c>
      <c r="C6" s="9" t="s">
        <v>60</v>
      </c>
      <c r="D6" s="9" t="s">
        <v>61</v>
      </c>
      <c r="E6" s="9" t="s">
        <v>27</v>
      </c>
      <c r="F6" s="10" t="s">
        <v>6</v>
      </c>
      <c r="G6" s="9" t="s">
        <v>18</v>
      </c>
      <c r="H6" s="9" t="s">
        <v>46</v>
      </c>
      <c r="I6" s="9" t="s">
        <v>62</v>
      </c>
      <c r="J6" s="9" t="s">
        <v>48</v>
      </c>
      <c r="K6" s="9"/>
    </row>
    <row r="7" customFormat="false" ht="23.85" hidden="false" customHeight="false" outlineLevel="0" collapsed="false">
      <c r="A7" s="9" t="s">
        <v>63</v>
      </c>
      <c r="B7" s="9" t="s">
        <v>59</v>
      </c>
      <c r="C7" s="9" t="s">
        <v>64</v>
      </c>
      <c r="D7" s="9" t="s">
        <v>65</v>
      </c>
      <c r="E7" s="9" t="s">
        <v>27</v>
      </c>
      <c r="F7" s="12" t="s">
        <v>7</v>
      </c>
      <c r="G7" s="9" t="s">
        <v>16</v>
      </c>
      <c r="H7" s="9" t="s">
        <v>46</v>
      </c>
      <c r="I7" s="9" t="s">
        <v>62</v>
      </c>
      <c r="J7" s="9" t="s">
        <v>48</v>
      </c>
      <c r="K7" s="9"/>
    </row>
    <row r="8" customFormat="false" ht="35.05" hidden="false" customHeight="false" outlineLevel="0" collapsed="false">
      <c r="A8" s="9" t="s">
        <v>66</v>
      </c>
      <c r="B8" s="9" t="s">
        <v>67</v>
      </c>
      <c r="C8" s="9" t="s">
        <v>68</v>
      </c>
      <c r="D8" s="9" t="s">
        <v>69</v>
      </c>
      <c r="E8" s="9" t="s">
        <v>26</v>
      </c>
      <c r="F8" s="12" t="s">
        <v>7</v>
      </c>
      <c r="G8" s="9" t="s">
        <v>12</v>
      </c>
      <c r="H8" s="9" t="s">
        <v>46</v>
      </c>
      <c r="I8" s="9" t="s">
        <v>70</v>
      </c>
      <c r="J8" s="9" t="s">
        <v>48</v>
      </c>
      <c r="K8" s="9"/>
    </row>
    <row r="9" customFormat="false" ht="35.05" hidden="false" customHeight="false" outlineLevel="0" collapsed="false">
      <c r="A9" s="9" t="s">
        <v>71</v>
      </c>
      <c r="B9" s="9" t="s">
        <v>67</v>
      </c>
      <c r="C9" s="9" t="s">
        <v>72</v>
      </c>
      <c r="D9" s="9" t="s">
        <v>69</v>
      </c>
      <c r="E9" s="9" t="s">
        <v>26</v>
      </c>
      <c r="F9" s="12" t="s">
        <v>7</v>
      </c>
      <c r="G9" s="9" t="s">
        <v>12</v>
      </c>
      <c r="H9" s="9" t="s">
        <v>46</v>
      </c>
      <c r="I9" s="9" t="s">
        <v>70</v>
      </c>
      <c r="J9" s="9" t="s">
        <v>48</v>
      </c>
      <c r="K9" s="9"/>
    </row>
    <row r="10" customFormat="false" ht="35.05" hidden="false" customHeight="false" outlineLevel="0" collapsed="false">
      <c r="A10" s="9" t="s">
        <v>73</v>
      </c>
      <c r="B10" s="9" t="s">
        <v>67</v>
      </c>
      <c r="C10" s="9" t="s">
        <v>74</v>
      </c>
      <c r="D10" s="9" t="s">
        <v>75</v>
      </c>
      <c r="E10" s="9" t="s">
        <v>26</v>
      </c>
      <c r="F10" s="11" t="s">
        <v>8</v>
      </c>
      <c r="G10" s="9" t="s">
        <v>12</v>
      </c>
      <c r="H10" s="9" t="s">
        <v>46</v>
      </c>
      <c r="I10" s="9" t="s">
        <v>70</v>
      </c>
      <c r="J10" s="9" t="s">
        <v>48</v>
      </c>
      <c r="K10" s="9"/>
    </row>
    <row r="11" customFormat="false" ht="35.05" hidden="false" customHeight="false" outlineLevel="0" collapsed="false">
      <c r="A11" s="9" t="s">
        <v>76</v>
      </c>
      <c r="B11" s="9" t="s">
        <v>67</v>
      </c>
      <c r="C11" s="9" t="s">
        <v>77</v>
      </c>
      <c r="D11" s="9" t="s">
        <v>78</v>
      </c>
      <c r="E11" s="9" t="s">
        <v>26</v>
      </c>
      <c r="F11" s="12" t="s">
        <v>7</v>
      </c>
      <c r="G11" s="9" t="s">
        <v>12</v>
      </c>
      <c r="H11" s="9" t="s">
        <v>46</v>
      </c>
      <c r="I11" s="9" t="s">
        <v>70</v>
      </c>
      <c r="J11" s="9" t="s">
        <v>48</v>
      </c>
      <c r="K11" s="9"/>
    </row>
    <row r="12" customFormat="false" ht="23.85" hidden="false" customHeight="false" outlineLevel="0" collapsed="false">
      <c r="A12" s="9" t="s">
        <v>79</v>
      </c>
      <c r="B12" s="9" t="s">
        <v>80</v>
      </c>
      <c r="C12" s="9" t="s">
        <v>81</v>
      </c>
      <c r="D12" s="9" t="s">
        <v>82</v>
      </c>
      <c r="E12" s="9" t="s">
        <v>21</v>
      </c>
      <c r="F12" s="10" t="s">
        <v>6</v>
      </c>
      <c r="G12" s="9" t="s">
        <v>12</v>
      </c>
      <c r="H12" s="9" t="s">
        <v>46</v>
      </c>
      <c r="I12" s="9" t="s">
        <v>83</v>
      </c>
      <c r="J12" s="9" t="s">
        <v>48</v>
      </c>
      <c r="K12" s="9"/>
    </row>
    <row r="13" customFormat="false" ht="23.85" hidden="false" customHeight="false" outlineLevel="0" collapsed="false">
      <c r="A13" s="9" t="s">
        <v>84</v>
      </c>
      <c r="B13" s="9" t="s">
        <v>80</v>
      </c>
      <c r="C13" s="9" t="s">
        <v>85</v>
      </c>
      <c r="D13" s="9" t="s">
        <v>86</v>
      </c>
      <c r="E13" s="9" t="s">
        <v>21</v>
      </c>
      <c r="F13" s="10" t="s">
        <v>6</v>
      </c>
      <c r="G13" s="9" t="s">
        <v>12</v>
      </c>
      <c r="H13" s="9" t="s">
        <v>46</v>
      </c>
      <c r="I13" s="9" t="s">
        <v>83</v>
      </c>
      <c r="J13" s="9" t="s">
        <v>48</v>
      </c>
      <c r="K13" s="9"/>
    </row>
    <row r="14" customFormat="false" ht="23.85" hidden="false" customHeight="false" outlineLevel="0" collapsed="false">
      <c r="A14" s="9" t="s">
        <v>87</v>
      </c>
      <c r="B14" s="9" t="s">
        <v>80</v>
      </c>
      <c r="C14" s="9" t="s">
        <v>88</v>
      </c>
      <c r="D14" s="9" t="s">
        <v>89</v>
      </c>
      <c r="E14" s="9" t="s">
        <v>21</v>
      </c>
      <c r="F14" s="12" t="s">
        <v>7</v>
      </c>
      <c r="G14" s="9" t="s">
        <v>14</v>
      </c>
      <c r="H14" s="9" t="s">
        <v>46</v>
      </c>
      <c r="I14" s="9" t="s">
        <v>83</v>
      </c>
      <c r="J14" s="9" t="s">
        <v>48</v>
      </c>
      <c r="K14" s="9"/>
    </row>
    <row r="15" customFormat="false" ht="23.85" hidden="false" customHeight="false" outlineLevel="0" collapsed="false">
      <c r="A15" s="9" t="s">
        <v>90</v>
      </c>
      <c r="B15" s="9" t="s">
        <v>80</v>
      </c>
      <c r="C15" s="9" t="s">
        <v>91</v>
      </c>
      <c r="D15" s="9" t="s">
        <v>92</v>
      </c>
      <c r="E15" s="9" t="s">
        <v>21</v>
      </c>
      <c r="F15" s="12" t="s">
        <v>7</v>
      </c>
      <c r="G15" s="9" t="s">
        <v>13</v>
      </c>
      <c r="H15" s="9" t="s">
        <v>46</v>
      </c>
      <c r="I15" s="9" t="s">
        <v>83</v>
      </c>
      <c r="J15" s="9" t="s">
        <v>48</v>
      </c>
      <c r="K15" s="9"/>
    </row>
    <row r="16" customFormat="false" ht="23.85" hidden="false" customHeight="false" outlineLevel="0" collapsed="false">
      <c r="A16" s="9" t="s">
        <v>93</v>
      </c>
      <c r="B16" s="9" t="s">
        <v>80</v>
      </c>
      <c r="C16" s="9" t="s">
        <v>94</v>
      </c>
      <c r="D16" s="9" t="s">
        <v>95</v>
      </c>
      <c r="E16" s="9" t="s">
        <v>21</v>
      </c>
      <c r="F16" s="10" t="s">
        <v>6</v>
      </c>
      <c r="G16" s="9" t="s">
        <v>14</v>
      </c>
      <c r="H16" s="9" t="s">
        <v>46</v>
      </c>
      <c r="I16" s="9" t="s">
        <v>83</v>
      </c>
      <c r="J16" s="9" t="s">
        <v>48</v>
      </c>
      <c r="K16" s="9"/>
    </row>
    <row r="17" customFormat="false" ht="23.85" hidden="false" customHeight="false" outlineLevel="0" collapsed="false">
      <c r="A17" s="9" t="s">
        <v>96</v>
      </c>
      <c r="B17" s="9" t="s">
        <v>80</v>
      </c>
      <c r="C17" s="9" t="s">
        <v>97</v>
      </c>
      <c r="D17" s="9" t="s">
        <v>98</v>
      </c>
      <c r="E17" s="9" t="s">
        <v>21</v>
      </c>
      <c r="F17" s="12" t="s">
        <v>7</v>
      </c>
      <c r="G17" s="9" t="s">
        <v>14</v>
      </c>
      <c r="H17" s="9" t="s">
        <v>46</v>
      </c>
      <c r="I17" s="9" t="s">
        <v>83</v>
      </c>
      <c r="J17" s="9" t="s">
        <v>48</v>
      </c>
      <c r="K17" s="9"/>
    </row>
    <row r="18" customFormat="false" ht="23.85" hidden="false" customHeight="false" outlineLevel="0" collapsed="false">
      <c r="A18" s="9" t="s">
        <v>99</v>
      </c>
      <c r="B18" s="9" t="s">
        <v>80</v>
      </c>
      <c r="C18" s="9" t="s">
        <v>100</v>
      </c>
      <c r="D18" s="9" t="s">
        <v>98</v>
      </c>
      <c r="E18" s="9" t="s">
        <v>21</v>
      </c>
      <c r="F18" s="12" t="s">
        <v>7</v>
      </c>
      <c r="G18" s="9" t="s">
        <v>14</v>
      </c>
      <c r="H18" s="9" t="s">
        <v>46</v>
      </c>
      <c r="I18" s="9" t="s">
        <v>83</v>
      </c>
      <c r="J18" s="9" t="s">
        <v>48</v>
      </c>
      <c r="K18" s="9"/>
    </row>
    <row r="19" customFormat="false" ht="23.85" hidden="false" customHeight="false" outlineLevel="0" collapsed="false">
      <c r="A19" s="9" t="s">
        <v>101</v>
      </c>
      <c r="B19" s="9" t="s">
        <v>80</v>
      </c>
      <c r="C19" s="9" t="s">
        <v>102</v>
      </c>
      <c r="D19" s="9" t="s">
        <v>57</v>
      </c>
      <c r="E19" s="9" t="s">
        <v>21</v>
      </c>
      <c r="F19" s="11" t="s">
        <v>8</v>
      </c>
      <c r="G19" s="9" t="s">
        <v>12</v>
      </c>
      <c r="H19" s="9" t="s">
        <v>46</v>
      </c>
      <c r="I19" s="9" t="s">
        <v>83</v>
      </c>
      <c r="J19" s="9" t="s">
        <v>48</v>
      </c>
      <c r="K19" s="9"/>
    </row>
    <row r="20" customFormat="false" ht="23.85" hidden="false" customHeight="false" outlineLevel="0" collapsed="false">
      <c r="A20" s="9" t="s">
        <v>103</v>
      </c>
      <c r="B20" s="9" t="s">
        <v>80</v>
      </c>
      <c r="C20" s="9" t="s">
        <v>104</v>
      </c>
      <c r="D20" s="9" t="s">
        <v>105</v>
      </c>
      <c r="E20" s="9" t="s">
        <v>21</v>
      </c>
      <c r="F20" s="11" t="s">
        <v>8</v>
      </c>
      <c r="G20" s="9" t="s">
        <v>12</v>
      </c>
      <c r="H20" s="9" t="s">
        <v>46</v>
      </c>
      <c r="I20" s="9" t="s">
        <v>83</v>
      </c>
      <c r="J20" s="9" t="s">
        <v>48</v>
      </c>
      <c r="K20" s="9"/>
    </row>
    <row r="21" customFormat="false" ht="23.85" hidden="false" customHeight="false" outlineLevel="0" collapsed="false">
      <c r="A21" s="9" t="s">
        <v>106</v>
      </c>
      <c r="B21" s="9" t="s">
        <v>80</v>
      </c>
      <c r="C21" s="9" t="s">
        <v>107</v>
      </c>
      <c r="D21" s="9" t="s">
        <v>108</v>
      </c>
      <c r="E21" s="9" t="s">
        <v>21</v>
      </c>
      <c r="F21" s="11" t="s">
        <v>8</v>
      </c>
      <c r="G21" s="9" t="s">
        <v>16</v>
      </c>
      <c r="H21" s="9" t="s">
        <v>46</v>
      </c>
      <c r="I21" s="9" t="s">
        <v>83</v>
      </c>
      <c r="J21" s="9" t="s">
        <v>48</v>
      </c>
      <c r="K21" s="9"/>
    </row>
    <row r="22" customFormat="false" ht="23.85" hidden="false" customHeight="false" outlineLevel="0" collapsed="false">
      <c r="A22" s="9" t="s">
        <v>109</v>
      </c>
      <c r="B22" s="9" t="s">
        <v>80</v>
      </c>
      <c r="C22" s="9" t="s">
        <v>110</v>
      </c>
      <c r="D22" s="9" t="s">
        <v>111</v>
      </c>
      <c r="E22" s="9" t="s">
        <v>21</v>
      </c>
      <c r="F22" s="10" t="s">
        <v>6</v>
      </c>
      <c r="G22" s="9" t="s">
        <v>15</v>
      </c>
      <c r="H22" s="9" t="s">
        <v>46</v>
      </c>
      <c r="I22" s="9" t="s">
        <v>83</v>
      </c>
      <c r="J22" s="9" t="s">
        <v>48</v>
      </c>
      <c r="K22" s="9"/>
    </row>
    <row r="23" customFormat="false" ht="23.85" hidden="false" customHeight="false" outlineLevel="0" collapsed="false">
      <c r="A23" s="9" t="s">
        <v>112</v>
      </c>
      <c r="B23" s="9" t="s">
        <v>80</v>
      </c>
      <c r="C23" s="9" t="s">
        <v>113</v>
      </c>
      <c r="D23" s="9" t="s">
        <v>114</v>
      </c>
      <c r="E23" s="9" t="s">
        <v>21</v>
      </c>
      <c r="F23" s="11" t="s">
        <v>8</v>
      </c>
      <c r="G23" s="9" t="s">
        <v>17</v>
      </c>
      <c r="H23" s="9" t="s">
        <v>46</v>
      </c>
      <c r="I23" s="9" t="s">
        <v>83</v>
      </c>
      <c r="J23" s="9" t="s">
        <v>48</v>
      </c>
      <c r="K23" s="9"/>
    </row>
    <row r="24" customFormat="false" ht="23.85" hidden="false" customHeight="false" outlineLevel="0" collapsed="false">
      <c r="A24" s="9" t="s">
        <v>115</v>
      </c>
      <c r="B24" s="9" t="s">
        <v>116</v>
      </c>
      <c r="C24" s="9" t="s">
        <v>117</v>
      </c>
      <c r="D24" s="9" t="s">
        <v>118</v>
      </c>
      <c r="E24" s="9" t="s">
        <v>24</v>
      </c>
      <c r="F24" s="10" t="s">
        <v>6</v>
      </c>
      <c r="G24" s="9" t="s">
        <v>12</v>
      </c>
      <c r="H24" s="9" t="s">
        <v>46</v>
      </c>
      <c r="I24" s="9" t="s">
        <v>119</v>
      </c>
      <c r="J24" s="9" t="s">
        <v>48</v>
      </c>
      <c r="K24" s="9"/>
    </row>
    <row r="25" customFormat="false" ht="23.85" hidden="false" customHeight="false" outlineLevel="0" collapsed="false">
      <c r="A25" s="9" t="s">
        <v>120</v>
      </c>
      <c r="B25" s="9" t="s">
        <v>116</v>
      </c>
      <c r="C25" s="9" t="s">
        <v>121</v>
      </c>
      <c r="D25" s="9" t="s">
        <v>122</v>
      </c>
      <c r="E25" s="9" t="s">
        <v>24</v>
      </c>
      <c r="F25" s="12" t="s">
        <v>7</v>
      </c>
      <c r="G25" s="9" t="s">
        <v>13</v>
      </c>
      <c r="H25" s="9" t="s">
        <v>46</v>
      </c>
      <c r="I25" s="9" t="s">
        <v>119</v>
      </c>
      <c r="J25" s="9" t="s">
        <v>48</v>
      </c>
      <c r="K25" s="9"/>
    </row>
    <row r="26" customFormat="false" ht="23.85" hidden="false" customHeight="false" outlineLevel="0" collapsed="false">
      <c r="A26" s="9" t="s">
        <v>123</v>
      </c>
      <c r="B26" s="9" t="s">
        <v>116</v>
      </c>
      <c r="C26" s="9" t="s">
        <v>124</v>
      </c>
      <c r="D26" s="9" t="s">
        <v>122</v>
      </c>
      <c r="E26" s="9" t="s">
        <v>24</v>
      </c>
      <c r="F26" s="12" t="s">
        <v>7</v>
      </c>
      <c r="G26" s="9" t="s">
        <v>13</v>
      </c>
      <c r="H26" s="9" t="s">
        <v>46</v>
      </c>
      <c r="I26" s="9" t="s">
        <v>119</v>
      </c>
      <c r="J26" s="9" t="s">
        <v>48</v>
      </c>
      <c r="K26" s="9"/>
    </row>
    <row r="27" customFormat="false" ht="23.85" hidden="false" customHeight="false" outlineLevel="0" collapsed="false">
      <c r="A27" s="9" t="s">
        <v>125</v>
      </c>
      <c r="B27" s="9" t="s">
        <v>116</v>
      </c>
      <c r="C27" s="9" t="s">
        <v>126</v>
      </c>
      <c r="D27" s="9" t="s">
        <v>127</v>
      </c>
      <c r="E27" s="9" t="s">
        <v>24</v>
      </c>
      <c r="F27" s="12" t="s">
        <v>7</v>
      </c>
      <c r="G27" s="9" t="s">
        <v>12</v>
      </c>
      <c r="H27" s="9" t="s">
        <v>46</v>
      </c>
      <c r="I27" s="9" t="s">
        <v>119</v>
      </c>
      <c r="J27" s="9" t="s">
        <v>48</v>
      </c>
      <c r="K27" s="9"/>
    </row>
    <row r="28" customFormat="false" ht="23.85" hidden="false" customHeight="false" outlineLevel="0" collapsed="false">
      <c r="A28" s="9" t="s">
        <v>128</v>
      </c>
      <c r="B28" s="9" t="s">
        <v>116</v>
      </c>
      <c r="C28" s="9" t="s">
        <v>129</v>
      </c>
      <c r="D28" s="9" t="s">
        <v>130</v>
      </c>
      <c r="E28" s="9" t="s">
        <v>24</v>
      </c>
      <c r="F28" s="11" t="s">
        <v>8</v>
      </c>
      <c r="G28" s="9" t="s">
        <v>12</v>
      </c>
      <c r="H28" s="9" t="s">
        <v>46</v>
      </c>
      <c r="I28" s="9" t="s">
        <v>119</v>
      </c>
      <c r="J28" s="9" t="s">
        <v>48</v>
      </c>
      <c r="K28" s="9"/>
    </row>
    <row r="29" customFormat="false" ht="23.85" hidden="false" customHeight="false" outlineLevel="0" collapsed="false">
      <c r="A29" s="9" t="s">
        <v>131</v>
      </c>
      <c r="B29" s="9" t="s">
        <v>132</v>
      </c>
      <c r="C29" s="9" t="s">
        <v>133</v>
      </c>
      <c r="D29" s="9" t="s">
        <v>86</v>
      </c>
      <c r="E29" s="9" t="s">
        <v>22</v>
      </c>
      <c r="F29" s="10" t="s">
        <v>6</v>
      </c>
      <c r="G29" s="9" t="s">
        <v>12</v>
      </c>
      <c r="H29" s="9" t="s">
        <v>46</v>
      </c>
      <c r="I29" s="9" t="s">
        <v>134</v>
      </c>
      <c r="J29" s="9" t="s">
        <v>48</v>
      </c>
      <c r="K29" s="9"/>
    </row>
    <row r="30" customFormat="false" ht="23.85" hidden="false" customHeight="false" outlineLevel="0" collapsed="false">
      <c r="A30" s="9" t="s">
        <v>135</v>
      </c>
      <c r="B30" s="9" t="s">
        <v>136</v>
      </c>
      <c r="C30" s="9" t="s">
        <v>137</v>
      </c>
      <c r="D30" s="9" t="s">
        <v>86</v>
      </c>
      <c r="E30" s="9" t="s">
        <v>23</v>
      </c>
      <c r="F30" s="10" t="s">
        <v>6</v>
      </c>
      <c r="G30" s="9" t="s">
        <v>12</v>
      </c>
      <c r="H30" s="9" t="s">
        <v>46</v>
      </c>
      <c r="I30" s="9" t="s">
        <v>138</v>
      </c>
      <c r="J30" s="9" t="s">
        <v>48</v>
      </c>
      <c r="K30" s="9"/>
    </row>
    <row r="31" customFormat="false" ht="23.85" hidden="false" customHeight="false" outlineLevel="0" collapsed="false">
      <c r="A31" s="9" t="s">
        <v>139</v>
      </c>
      <c r="B31" s="9" t="s">
        <v>136</v>
      </c>
      <c r="C31" s="9" t="s">
        <v>140</v>
      </c>
      <c r="D31" s="9" t="s">
        <v>92</v>
      </c>
      <c r="E31" s="9" t="s">
        <v>23</v>
      </c>
      <c r="F31" s="12" t="s">
        <v>7</v>
      </c>
      <c r="G31" s="9" t="s">
        <v>13</v>
      </c>
      <c r="H31" s="9" t="s">
        <v>46</v>
      </c>
      <c r="I31" s="9" t="s">
        <v>138</v>
      </c>
      <c r="J31" s="9" t="s">
        <v>48</v>
      </c>
      <c r="K31" s="9"/>
    </row>
    <row r="32" customFormat="false" ht="23.85" hidden="false" customHeight="false" outlineLevel="0" collapsed="false">
      <c r="A32" s="9" t="s">
        <v>141</v>
      </c>
      <c r="B32" s="9" t="s">
        <v>136</v>
      </c>
      <c r="C32" s="9" t="s">
        <v>142</v>
      </c>
      <c r="D32" s="9" t="s">
        <v>89</v>
      </c>
      <c r="E32" s="9" t="s">
        <v>23</v>
      </c>
      <c r="F32" s="12" t="s">
        <v>7</v>
      </c>
      <c r="G32" s="9" t="s">
        <v>14</v>
      </c>
      <c r="H32" s="9" t="s">
        <v>46</v>
      </c>
      <c r="I32" s="9" t="s">
        <v>138</v>
      </c>
      <c r="J32" s="9" t="s">
        <v>48</v>
      </c>
      <c r="K32" s="9"/>
    </row>
    <row r="33" customFormat="false" ht="23.85" hidden="false" customHeight="false" outlineLevel="0" collapsed="false">
      <c r="A33" s="9" t="s">
        <v>143</v>
      </c>
      <c r="B33" s="9" t="s">
        <v>136</v>
      </c>
      <c r="C33" s="9" t="s">
        <v>144</v>
      </c>
      <c r="D33" s="9" t="s">
        <v>89</v>
      </c>
      <c r="E33" s="9" t="s">
        <v>23</v>
      </c>
      <c r="F33" s="12" t="s">
        <v>7</v>
      </c>
      <c r="G33" s="9" t="s">
        <v>14</v>
      </c>
      <c r="H33" s="9" t="s">
        <v>46</v>
      </c>
      <c r="I33" s="9" t="s">
        <v>138</v>
      </c>
      <c r="J33" s="9" t="s">
        <v>48</v>
      </c>
      <c r="K33" s="9"/>
    </row>
    <row r="34" customFormat="false" ht="23.85" hidden="false" customHeight="false" outlineLevel="0" collapsed="false">
      <c r="A34" s="9" t="s">
        <v>145</v>
      </c>
      <c r="B34" s="9" t="s">
        <v>136</v>
      </c>
      <c r="C34" s="9" t="s">
        <v>146</v>
      </c>
      <c r="D34" s="9" t="s">
        <v>98</v>
      </c>
      <c r="E34" s="9" t="s">
        <v>23</v>
      </c>
      <c r="F34" s="12" t="s">
        <v>7</v>
      </c>
      <c r="G34" s="9" t="s">
        <v>14</v>
      </c>
      <c r="H34" s="9" t="s">
        <v>46</v>
      </c>
      <c r="I34" s="9" t="s">
        <v>138</v>
      </c>
      <c r="J34" s="9" t="s">
        <v>48</v>
      </c>
      <c r="K34" s="9"/>
    </row>
    <row r="35" customFormat="false" ht="23.85" hidden="false" customHeight="false" outlineLevel="0" collapsed="false">
      <c r="A35" s="9" t="s">
        <v>147</v>
      </c>
      <c r="B35" s="9" t="s">
        <v>136</v>
      </c>
      <c r="C35" s="9" t="s">
        <v>148</v>
      </c>
      <c r="D35" s="9" t="s">
        <v>149</v>
      </c>
      <c r="E35" s="9" t="s">
        <v>23</v>
      </c>
      <c r="F35" s="12" t="s">
        <v>7</v>
      </c>
      <c r="G35" s="9" t="s">
        <v>12</v>
      </c>
      <c r="H35" s="9" t="s">
        <v>46</v>
      </c>
      <c r="I35" s="9" t="s">
        <v>138</v>
      </c>
      <c r="J35" s="9" t="s">
        <v>48</v>
      </c>
      <c r="K35" s="9"/>
    </row>
    <row r="36" customFormat="false" ht="23.85" hidden="false" customHeight="false" outlineLevel="0" collapsed="false">
      <c r="A36" s="9" t="s">
        <v>150</v>
      </c>
      <c r="B36" s="9" t="s">
        <v>136</v>
      </c>
      <c r="C36" s="9" t="s">
        <v>151</v>
      </c>
      <c r="D36" s="9" t="s">
        <v>92</v>
      </c>
      <c r="E36" s="9" t="s">
        <v>23</v>
      </c>
      <c r="F36" s="12" t="s">
        <v>7</v>
      </c>
      <c r="G36" s="9" t="s">
        <v>13</v>
      </c>
      <c r="H36" s="9" t="s">
        <v>46</v>
      </c>
      <c r="I36" s="9" t="s">
        <v>138</v>
      </c>
      <c r="J36" s="9" t="s">
        <v>48</v>
      </c>
      <c r="K36" s="9"/>
    </row>
    <row r="37" customFormat="false" ht="23.85" hidden="false" customHeight="false" outlineLevel="0" collapsed="false">
      <c r="A37" s="9" t="s">
        <v>152</v>
      </c>
      <c r="B37" s="9" t="s">
        <v>136</v>
      </c>
      <c r="C37" s="9" t="s">
        <v>153</v>
      </c>
      <c r="D37" s="9" t="s">
        <v>154</v>
      </c>
      <c r="E37" s="9" t="s">
        <v>23</v>
      </c>
      <c r="F37" s="11" t="s">
        <v>8</v>
      </c>
      <c r="G37" s="9" t="s">
        <v>12</v>
      </c>
      <c r="H37" s="9" t="s">
        <v>46</v>
      </c>
      <c r="I37" s="9" t="s">
        <v>138</v>
      </c>
      <c r="J37" s="9" t="s">
        <v>48</v>
      </c>
      <c r="K37" s="9"/>
    </row>
    <row r="38" customFormat="false" ht="23.85" hidden="false" customHeight="false" outlineLevel="0" collapsed="false">
      <c r="A38" s="9" t="s">
        <v>155</v>
      </c>
      <c r="B38" s="9" t="s">
        <v>136</v>
      </c>
      <c r="C38" s="9" t="s">
        <v>156</v>
      </c>
      <c r="D38" s="9" t="s">
        <v>154</v>
      </c>
      <c r="E38" s="9" t="s">
        <v>23</v>
      </c>
      <c r="F38" s="11" t="s">
        <v>8</v>
      </c>
      <c r="G38" s="9" t="s">
        <v>12</v>
      </c>
      <c r="H38" s="9" t="s">
        <v>46</v>
      </c>
      <c r="I38" s="9" t="s">
        <v>138</v>
      </c>
      <c r="J38" s="9" t="s">
        <v>48</v>
      </c>
      <c r="K38" s="9"/>
    </row>
    <row r="39" customFormat="false" ht="23.85" hidden="false" customHeight="false" outlineLevel="0" collapsed="false">
      <c r="A39" s="9" t="s">
        <v>157</v>
      </c>
      <c r="B39" s="9" t="s">
        <v>136</v>
      </c>
      <c r="C39" s="9" t="s">
        <v>158</v>
      </c>
      <c r="D39" s="9" t="s">
        <v>159</v>
      </c>
      <c r="E39" s="9" t="s">
        <v>23</v>
      </c>
      <c r="F39" s="11" t="s">
        <v>8</v>
      </c>
      <c r="G39" s="9" t="s">
        <v>17</v>
      </c>
      <c r="H39" s="9" t="s">
        <v>46</v>
      </c>
      <c r="I39" s="9" t="s">
        <v>138</v>
      </c>
      <c r="J39" s="9" t="s">
        <v>48</v>
      </c>
      <c r="K39" s="9"/>
    </row>
    <row r="40" customFormat="false" ht="23.85" hidden="false" customHeight="false" outlineLevel="0" collapsed="false">
      <c r="A40" s="9" t="s">
        <v>160</v>
      </c>
      <c r="B40" s="9" t="s">
        <v>136</v>
      </c>
      <c r="C40" s="9" t="s">
        <v>161</v>
      </c>
      <c r="D40" s="9" t="s">
        <v>162</v>
      </c>
      <c r="E40" s="9" t="s">
        <v>23</v>
      </c>
      <c r="F40" s="10" t="s">
        <v>6</v>
      </c>
      <c r="G40" s="9" t="s">
        <v>12</v>
      </c>
      <c r="H40" s="9" t="s">
        <v>46</v>
      </c>
      <c r="I40" s="9" t="s">
        <v>138</v>
      </c>
      <c r="J40" s="9" t="s">
        <v>48</v>
      </c>
      <c r="K40" s="9"/>
    </row>
    <row r="41" customFormat="false" ht="23.85" hidden="false" customHeight="false" outlineLevel="0" collapsed="false">
      <c r="A41" s="9" t="s">
        <v>163</v>
      </c>
      <c r="B41" s="9" t="s">
        <v>164</v>
      </c>
      <c r="C41" s="9" t="s">
        <v>165</v>
      </c>
      <c r="D41" s="9" t="s">
        <v>166</v>
      </c>
      <c r="E41" s="9" t="s">
        <v>28</v>
      </c>
      <c r="F41" s="10" t="s">
        <v>6</v>
      </c>
      <c r="G41" s="9" t="s">
        <v>18</v>
      </c>
      <c r="H41" s="9" t="s">
        <v>46</v>
      </c>
      <c r="I41" s="9" t="s">
        <v>167</v>
      </c>
      <c r="J41" s="9" t="s">
        <v>48</v>
      </c>
      <c r="K41" s="9"/>
    </row>
    <row r="42" customFormat="false" ht="23.85" hidden="false" customHeight="false" outlineLevel="0" collapsed="false">
      <c r="A42" s="9" t="s">
        <v>168</v>
      </c>
      <c r="B42" s="9" t="s">
        <v>164</v>
      </c>
      <c r="C42" s="9" t="s">
        <v>169</v>
      </c>
      <c r="D42" s="9" t="s">
        <v>166</v>
      </c>
      <c r="E42" s="9" t="s">
        <v>28</v>
      </c>
      <c r="F42" s="10" t="s">
        <v>6</v>
      </c>
      <c r="G42" s="9" t="s">
        <v>18</v>
      </c>
      <c r="H42" s="9" t="s">
        <v>46</v>
      </c>
      <c r="I42" s="9" t="s">
        <v>167</v>
      </c>
      <c r="J42" s="9" t="s">
        <v>48</v>
      </c>
      <c r="K42" s="9"/>
    </row>
    <row r="43" customFormat="false" ht="23.85" hidden="false" customHeight="false" outlineLevel="0" collapsed="false">
      <c r="A43" s="9" t="s">
        <v>170</v>
      </c>
      <c r="B43" s="9" t="s">
        <v>164</v>
      </c>
      <c r="C43" s="9" t="s">
        <v>171</v>
      </c>
      <c r="D43" s="9" t="s">
        <v>172</v>
      </c>
      <c r="E43" s="9" t="s">
        <v>28</v>
      </c>
      <c r="F43" s="10" t="s">
        <v>6</v>
      </c>
      <c r="G43" s="9" t="s">
        <v>14</v>
      </c>
      <c r="H43" s="9" t="s">
        <v>46</v>
      </c>
      <c r="I43" s="9" t="s">
        <v>167</v>
      </c>
      <c r="J43" s="9" t="s">
        <v>48</v>
      </c>
      <c r="K43" s="9"/>
    </row>
    <row r="44" customFormat="false" ht="23.85" hidden="false" customHeight="false" outlineLevel="0" collapsed="false">
      <c r="A44" s="9" t="s">
        <v>173</v>
      </c>
      <c r="B44" s="9" t="s">
        <v>164</v>
      </c>
      <c r="C44" s="9" t="s">
        <v>174</v>
      </c>
      <c r="D44" s="9" t="s">
        <v>172</v>
      </c>
      <c r="E44" s="9" t="s">
        <v>28</v>
      </c>
      <c r="F44" s="10" t="s">
        <v>6</v>
      </c>
      <c r="G44" s="9" t="s">
        <v>14</v>
      </c>
      <c r="H44" s="9" t="s">
        <v>46</v>
      </c>
      <c r="I44" s="9" t="s">
        <v>167</v>
      </c>
      <c r="J44" s="9" t="s">
        <v>48</v>
      </c>
      <c r="K44" s="9"/>
    </row>
    <row r="45" customFormat="false" ht="23.85" hidden="false" customHeight="false" outlineLevel="0" collapsed="false">
      <c r="A45" s="9" t="s">
        <v>175</v>
      </c>
      <c r="B45" s="9" t="s">
        <v>164</v>
      </c>
      <c r="C45" s="9" t="s">
        <v>176</v>
      </c>
      <c r="D45" s="9" t="s">
        <v>177</v>
      </c>
      <c r="E45" s="9" t="s">
        <v>28</v>
      </c>
      <c r="F45" s="12" t="s">
        <v>7</v>
      </c>
      <c r="G45" s="9" t="s">
        <v>18</v>
      </c>
      <c r="H45" s="9" t="s">
        <v>46</v>
      </c>
      <c r="I45" s="9" t="s">
        <v>167</v>
      </c>
      <c r="J45" s="13" t="s">
        <v>178</v>
      </c>
      <c r="K45" s="9"/>
    </row>
    <row r="46" customFormat="false" ht="23.85" hidden="false" customHeight="false" outlineLevel="0" collapsed="false">
      <c r="A46" s="9" t="s">
        <v>179</v>
      </c>
      <c r="B46" s="9" t="s">
        <v>164</v>
      </c>
      <c r="C46" s="9" t="s">
        <v>180</v>
      </c>
      <c r="D46" s="9" t="s">
        <v>177</v>
      </c>
      <c r="E46" s="9" t="s">
        <v>28</v>
      </c>
      <c r="F46" s="12" t="s">
        <v>7</v>
      </c>
      <c r="G46" s="9" t="s">
        <v>18</v>
      </c>
      <c r="H46" s="9" t="s">
        <v>46</v>
      </c>
      <c r="I46" s="9" t="s">
        <v>167</v>
      </c>
      <c r="J46" s="13" t="s">
        <v>178</v>
      </c>
      <c r="K46" s="9"/>
    </row>
    <row r="47" customFormat="false" ht="23.85" hidden="false" customHeight="false" outlineLevel="0" collapsed="false">
      <c r="A47" s="9" t="s">
        <v>181</v>
      </c>
      <c r="B47" s="9" t="s">
        <v>164</v>
      </c>
      <c r="C47" s="9" t="s">
        <v>182</v>
      </c>
      <c r="D47" s="9" t="s">
        <v>183</v>
      </c>
      <c r="E47" s="9" t="s">
        <v>28</v>
      </c>
      <c r="F47" s="12" t="s">
        <v>7</v>
      </c>
      <c r="G47" s="9" t="s">
        <v>14</v>
      </c>
      <c r="H47" s="9" t="s">
        <v>46</v>
      </c>
      <c r="I47" s="9" t="s">
        <v>167</v>
      </c>
      <c r="J47" s="13" t="s">
        <v>178</v>
      </c>
      <c r="K47" s="9"/>
    </row>
    <row r="48" customFormat="false" ht="23.85" hidden="false" customHeight="false" outlineLevel="0" collapsed="false">
      <c r="A48" s="9" t="s">
        <v>184</v>
      </c>
      <c r="B48" s="9" t="s">
        <v>164</v>
      </c>
      <c r="C48" s="9" t="s">
        <v>185</v>
      </c>
      <c r="D48" s="9" t="s">
        <v>183</v>
      </c>
      <c r="E48" s="9" t="s">
        <v>28</v>
      </c>
      <c r="F48" s="12" t="s">
        <v>7</v>
      </c>
      <c r="G48" s="9" t="s">
        <v>14</v>
      </c>
      <c r="H48" s="9" t="s">
        <v>46</v>
      </c>
      <c r="I48" s="9" t="s">
        <v>167</v>
      </c>
      <c r="J48" s="13" t="s">
        <v>178</v>
      </c>
      <c r="K48" s="9"/>
    </row>
  </sheetData>
  <autoFilter ref="A1:K4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2026-08-16T03:04:13Z</dcterms:created>
  <dc:creator>openpyxl</dc:creator>
  <dc:description/>
  <dc:language>en-US</dc:language>
  <cp:lastModifiedBy/>
  <dcterms:modified xsi:type="dcterms:W3CDTF">2026-08-16T03:06:18Z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